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 النتيجة" sheetId="1" state="visible" r:id="rId1"/>
    <sheet xmlns:r="http://schemas.openxmlformats.org/officeDocument/2006/relationships" name="الفحص السريع" sheetId="2" state="visible" r:id="rId2"/>
    <sheet xmlns:r="http://schemas.openxmlformats.org/officeDocument/2006/relationships" name="تفسير النتائج" sheetId="3" state="visible" r:id="rId3"/>
    <sheet xmlns:r="http://schemas.openxmlformats.org/officeDocument/2006/relationships" name="مصادر الأرقام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2933"/>
      <sz val="20"/>
    </font>
    <font>
      <name val="Arial"/>
      <color rgb="00475569"/>
      <sz val="11"/>
    </font>
    <font>
      <name val="Arial"/>
      <b val="1"/>
      <color rgb="001F2933"/>
      <sz val="12"/>
    </font>
    <font>
      <name val="Arial"/>
      <b val="1"/>
      <color rgb="001F2933"/>
      <sz val="14"/>
    </font>
    <font>
      <name val="Arial"/>
      <color rgb="001F2933"/>
      <sz val="11"/>
    </font>
    <font>
      <name val="Arial"/>
      <b val="1"/>
      <color rgb="00FFFFFF"/>
      <sz val="12"/>
    </font>
    <font>
      <name val="Arial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F7FAF9"/>
      </patternFill>
    </fill>
    <fill>
      <patternFill patternType="solid">
        <fgColor rgb="00FFFFFF"/>
      </patternFill>
    </fill>
    <fill>
      <patternFill patternType="solid">
        <fgColor rgb="001F2933"/>
      </patternFill>
    </fill>
    <fill>
      <patternFill patternType="solid">
        <fgColor rgb="00FBFD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8" customHeight="1">
      <c r="A1" s="1" t="inlineStr">
        <is>
          <t>Tracking Audit Checklist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أداة بسيطة تساعدك تعرف هل اختلاف أرقام Shopify وGA4 وMeta وGoogle طبيعي، أو يحتاج إصلاح قبل تغيير الميزانية.</t>
        </is>
      </c>
      <c r="B2" s="2" t="n"/>
      <c r="C2" s="2" t="n"/>
      <c r="D2" s="2" t="n"/>
      <c r="E2" s="2" t="n"/>
      <c r="F2" s="2" t="n"/>
      <c r="G2" s="2" t="n"/>
    </row>
    <row r="3" ht="28" customHeight="1">
      <c r="A3" s="2" t="n"/>
      <c r="B3" s="2" t="n"/>
      <c r="C3" s="2" t="n"/>
      <c r="D3" s="2" t="n"/>
      <c r="E3" s="2" t="n"/>
      <c r="F3" s="2" t="n"/>
      <c r="G3" s="2" t="n"/>
    </row>
    <row r="4" ht="28" customHeight="1">
      <c r="A4" s="4" t="inlineStr">
        <is>
          <t>النتيجة العامة</t>
        </is>
      </c>
      <c r="B4" s="4">
        <f>IF(D4=0,"جاهز للتقييم",IF(D4&lt;=3,"يحتاج مراجعة بسيطة","لا تغيّر الميزانية الآن"))</f>
        <v/>
      </c>
      <c r="C4" s="4" t="inlineStr">
        <is>
          <t>إجابات سليمة</t>
        </is>
      </c>
      <c r="D4" s="4">
        <f>COUNTIF('الفحص السريع'!C6:C17,"نعم")</f>
        <v/>
      </c>
      <c r="E4" s="4" t="inlineStr">
        <is>
          <t>مشاكل / غير متأكد</t>
        </is>
      </c>
      <c r="F4" s="4">
        <f>COUNTIF('الفحص السريع'!C6:C17,"لا")+COUNTIF('الفحص السريع'!C6:C17,"غير متأكد")</f>
        <v/>
      </c>
      <c r="G4" s="2" t="n"/>
    </row>
    <row r="5" ht="28" customHeight="1">
      <c r="A5" s="2" t="n"/>
      <c r="B5" s="2" t="n"/>
      <c r="C5" s="2" t="n"/>
      <c r="D5" s="2" t="n"/>
      <c r="E5" s="2" t="n"/>
      <c r="F5" s="2" t="n"/>
      <c r="G5" s="2" t="n"/>
    </row>
    <row r="6" ht="28" customHeight="1">
      <c r="A6" s="5" t="inlineStr">
        <is>
          <t>ماذا تفعل الآن؟</t>
        </is>
      </c>
      <c r="B6" s="2" t="n"/>
      <c r="C6" s="2" t="n"/>
      <c r="D6" s="2" t="n"/>
      <c r="E6" s="2" t="n"/>
      <c r="F6" s="2" t="n"/>
      <c r="G6" s="2" t="n"/>
    </row>
    <row r="7" ht="28" customHeight="1">
      <c r="A7" s="6">
        <f>IF(D4=12,"الأرقام تبدو جاهزة للقراءة. استخدم Shopify كحقيقة بيع، وGA4 لفهم السلوك، وMeta/Google لفهم الإسناد.",IF(F4&lt;=3,"راجع النقاط التي تظهر في قائمة الأولويات ثم انتظر 24-48 ساعة قبل قرار كبير.","لا توقف أو ترفع الميزانية الآن. أصلح مشاكل التتبع أولاً ثم قارن الأرقام من جديد."))</f>
        <v/>
      </c>
      <c r="B7" s="6" t="n"/>
      <c r="C7" s="6" t="n"/>
      <c r="D7" s="6" t="n"/>
      <c r="E7" s="6" t="n"/>
      <c r="F7" s="6" t="n"/>
      <c r="G7" s="2" t="n"/>
    </row>
    <row r="8" ht="28" customHeight="1">
      <c r="A8" s="6" t="n"/>
      <c r="B8" s="6" t="n"/>
      <c r="C8" s="6" t="n"/>
      <c r="D8" s="6" t="n"/>
      <c r="E8" s="6" t="n"/>
      <c r="F8" s="6" t="n"/>
      <c r="G8" s="2" t="n"/>
    </row>
    <row r="9" ht="28" customHeight="1">
      <c r="A9" s="2" t="n"/>
      <c r="B9" s="2" t="n"/>
      <c r="C9" s="2" t="n"/>
      <c r="D9" s="2" t="n"/>
      <c r="E9" s="2" t="n"/>
      <c r="F9" s="2" t="n"/>
      <c r="G9" s="2" t="n"/>
    </row>
    <row r="10" ht="28" customHeight="1">
      <c r="A10" s="5" t="inlineStr">
        <is>
          <t>قائمة الأولويات</t>
        </is>
      </c>
      <c r="B10" s="2" t="n"/>
      <c r="C10" s="2" t="n"/>
      <c r="D10" s="2" t="n"/>
      <c r="E10" s="2" t="n"/>
      <c r="F10" s="2" t="n"/>
      <c r="G10" s="2" t="n"/>
    </row>
    <row r="11" ht="28" customHeight="1">
      <c r="A11" s="7" t="inlineStr">
        <is>
          <t>ارجع إلى تبويب “الفحص السريع” وابدأ بأي سؤال إجابته: لا أو غير متأكد. هذه هي النقاط التي غالبًا تسبب اختلاف الأرقام.</t>
        </is>
      </c>
      <c r="B11" s="7" t="n"/>
      <c r="C11" s="7" t="n"/>
      <c r="D11" s="7" t="n"/>
      <c r="E11" s="7" t="n"/>
      <c r="F11" s="7" t="n"/>
      <c r="G11" s="2" t="n"/>
    </row>
    <row r="12" ht="28" customHeight="1">
      <c r="A12" s="7" t="n"/>
      <c r="B12" s="7" t="n"/>
      <c r="C12" s="7" t="n"/>
      <c r="D12" s="7" t="n"/>
      <c r="E12" s="7" t="n"/>
      <c r="F12" s="7" t="n"/>
      <c r="G12" s="2" t="n"/>
    </row>
    <row r="13" ht="28" customHeight="1">
      <c r="A13" s="2" t="n"/>
      <c r="B13" s="2" t="n"/>
      <c r="C13" s="2" t="n"/>
      <c r="D13" s="2" t="n"/>
      <c r="E13" s="2" t="n"/>
      <c r="F13" s="2" t="n"/>
      <c r="G13" s="2" t="n"/>
    </row>
    <row r="14" ht="28" customHeight="1">
      <c r="A14" s="8" t="inlineStr">
        <is>
          <t>طريقة الاستخدام</t>
        </is>
      </c>
      <c r="B14" s="2" t="n"/>
      <c r="C14" s="2" t="n"/>
      <c r="D14" s="2" t="n"/>
      <c r="E14" s="2" t="n"/>
      <c r="F14" s="2" t="n"/>
      <c r="G14" s="2" t="n"/>
    </row>
    <row r="15" ht="28" customHeight="1">
      <c r="A15" s="9" t="inlineStr">
        <is>
          <t>1. افتح تبويب الفحص السريع.</t>
        </is>
      </c>
      <c r="B15" s="2" t="n"/>
      <c r="C15" s="2" t="n"/>
      <c r="D15" s="2" t="n"/>
      <c r="E15" s="2" t="n"/>
      <c r="F15" s="2" t="n"/>
      <c r="G15" s="2" t="n"/>
    </row>
    <row r="16" ht="28" customHeight="1">
      <c r="A16" s="9" t="inlineStr">
        <is>
          <t>2. غيّر فقط عمود الإجابة.</t>
        </is>
      </c>
      <c r="B16" s="2" t="n"/>
      <c r="C16" s="2" t="n"/>
      <c r="D16" s="2" t="n"/>
      <c r="E16" s="2" t="n"/>
      <c r="F16" s="2" t="n"/>
      <c r="G16" s="2" t="n"/>
    </row>
    <row r="17" ht="28" customHeight="1">
      <c r="A17" s="9" t="inlineStr">
        <is>
          <t>3. ارجع هنا واقرأ النتيجة والتوصية.</t>
        </is>
      </c>
      <c r="B17" s="2" t="n"/>
      <c r="C17" s="2" t="n"/>
      <c r="D17" s="2" t="n"/>
      <c r="E17" s="2" t="n"/>
      <c r="F17" s="2" t="n"/>
      <c r="G17" s="2" t="n"/>
    </row>
  </sheetData>
  <mergeCells count="4">
    <mergeCell ref="A7:F8"/>
    <mergeCell ref="A2:G2"/>
    <mergeCell ref="A11:F1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8" customWidth="1" min="3" max="3"/>
    <col width="16" customWidth="1" min="4" max="4"/>
    <col width="36" customWidth="1" min="5" max="5"/>
    <col width="36" customWidth="1" min="6" max="6"/>
    <col hidden="1" width="12" customWidth="1" min="7" max="7"/>
  </cols>
  <sheetData>
    <row r="1" ht="28" customHeight="1">
      <c r="A1" s="1" t="inlineStr">
        <is>
          <t>الفحص السريع</t>
        </is>
      </c>
      <c r="B1" s="2" t="n"/>
      <c r="C1" s="2" t="n"/>
      <c r="D1" s="2" t="n"/>
      <c r="E1" s="2" t="n"/>
      <c r="F1" s="2" t="n"/>
      <c r="G1" s="2" t="n"/>
    </row>
    <row r="2" ht="28" customHeight="1">
      <c r="A2" s="3" t="inlineStr">
        <is>
          <t>اختر الإجابة فقط. لا تحتاج معرفة تقنية عميقة: إذا كنت غير متأكد، اختر “غير متأكد” والشيت سيعاملها كنقطة تحتاج مراجعة.</t>
        </is>
      </c>
      <c r="B2" s="2" t="n"/>
      <c r="C2" s="2" t="n"/>
      <c r="D2" s="2" t="n"/>
      <c r="E2" s="2" t="n"/>
      <c r="F2" s="2" t="n"/>
      <c r="G2" s="2" t="n"/>
    </row>
    <row r="3" ht="28" customHeight="1">
      <c r="A3" s="2" t="n"/>
      <c r="B3" s="2" t="n"/>
      <c r="C3" s="2" t="n"/>
      <c r="D3" s="2" t="n"/>
      <c r="E3" s="2" t="n"/>
      <c r="F3" s="2" t="n"/>
      <c r="G3" s="2" t="n"/>
    </row>
    <row r="4" ht="28" customHeight="1">
      <c r="A4" s="2" t="n"/>
      <c r="B4" s="2" t="n"/>
      <c r="C4" s="2" t="n"/>
      <c r="D4" s="2" t="n"/>
      <c r="E4" s="2" t="n"/>
      <c r="F4" s="2" t="n"/>
      <c r="G4" s="2" t="n"/>
    </row>
    <row r="5" ht="28" customHeight="1">
      <c r="A5" s="10" t="inlineStr">
        <is>
          <t>المجال</t>
        </is>
      </c>
      <c r="B5" s="10" t="inlineStr">
        <is>
          <t>السؤال</t>
        </is>
      </c>
      <c r="C5" s="10" t="inlineStr">
        <is>
          <t>الإجابة</t>
        </is>
      </c>
      <c r="D5" s="10" t="inlineStr">
        <is>
          <t>الأهمية</t>
        </is>
      </c>
      <c r="E5" s="10" t="inlineStr">
        <is>
          <t>لماذا مهم؟</t>
        </is>
      </c>
      <c r="F5" s="10" t="inlineStr">
        <is>
          <t>ماذا تفعل إذا كانت لا؟</t>
        </is>
      </c>
      <c r="G5" s="10" t="inlineStr">
        <is>
          <t>النقاط</t>
        </is>
      </c>
    </row>
    <row r="6" ht="28" customHeight="1">
      <c r="A6" s="11" t="inlineStr">
        <is>
          <t>Shopify</t>
        </is>
      </c>
      <c r="B6" s="11" t="inlineStr">
        <is>
          <t>هل رقم الطلب موجود في Shopify؟</t>
        </is>
      </c>
      <c r="C6" s="12" t="inlineStr">
        <is>
          <t>غير متأكد</t>
        </is>
      </c>
      <c r="D6" s="12" t="inlineStr">
        <is>
          <t>عالية</t>
        </is>
      </c>
      <c r="E6" s="11" t="inlineStr">
        <is>
          <t>Shopify هو مصدر حقيقة البيع.</t>
        </is>
      </c>
      <c r="F6" s="11" t="inlineStr">
        <is>
          <t>لا تعتمد على Meta أو Google وحدها. تأكد أن الطلب فعلي وغير ملغى.</t>
        </is>
      </c>
      <c r="G6" s="13">
        <f>IF(C6="نعم",1,0)</f>
        <v/>
      </c>
    </row>
    <row r="7" ht="28" customHeight="1">
      <c r="A7" s="14" t="inlineStr">
        <is>
          <t>Shopify</t>
        </is>
      </c>
      <c r="B7" s="14" t="inlineStr">
        <is>
          <t>هل تقارن نفس الفترة الزمنية في كل منصة؟</t>
        </is>
      </c>
      <c r="C7" s="15" t="inlineStr">
        <is>
          <t>غير متأكد</t>
        </is>
      </c>
      <c r="D7" s="15" t="inlineStr">
        <is>
          <t>عالية</t>
        </is>
      </c>
      <c r="E7" s="14" t="inlineStr">
        <is>
          <t>اختلاف التاريخ أو التوقيت يغيّر النتيجة.</t>
        </is>
      </c>
      <c r="F7" s="14" t="inlineStr">
        <is>
          <t>وحّد التاريخ والمنطقة الزمنية قبل المقارنة.</t>
        </is>
      </c>
      <c r="G7" s="16">
        <f>IF(C7="نعم",1,0)</f>
        <v/>
      </c>
    </row>
    <row r="8" ht="28" customHeight="1">
      <c r="A8" s="11" t="inlineStr">
        <is>
          <t>GA4</t>
        </is>
      </c>
      <c r="B8" s="11" t="inlineStr">
        <is>
          <t>هل حدث purchase يظهر في GA4؟</t>
        </is>
      </c>
      <c r="C8" s="12" t="inlineStr">
        <is>
          <t>غير متأكد</t>
        </is>
      </c>
      <c r="D8" s="12" t="inlineStr">
        <is>
          <t>عالية</t>
        </is>
      </c>
      <c r="E8" s="11" t="inlineStr">
        <is>
          <t>إذا الحدث لا يصل، GA4 سيظهر أقل من الواقع.</t>
        </is>
      </c>
      <c r="F8" s="11" t="inlineStr">
        <is>
          <t>اختبر شراء تجريبي أو صفحة الشكر وتأكد من وصول purchase.</t>
        </is>
      </c>
      <c r="G8" s="13">
        <f>IF(C8="نعم",1,0)</f>
        <v/>
      </c>
    </row>
    <row r="9" ht="28" customHeight="1">
      <c r="A9" s="14" t="inlineStr">
        <is>
          <t>GA4</t>
        </is>
      </c>
      <c r="B9" s="14" t="inlineStr">
        <is>
          <t>هل حدث purchase لا يتكرر عند تحديث صفحة الشكر؟</t>
        </is>
      </c>
      <c r="C9" s="15" t="inlineStr">
        <is>
          <t>غير متأكد</t>
        </is>
      </c>
      <c r="D9" s="15" t="inlineStr">
        <is>
          <t>عالية</t>
        </is>
      </c>
      <c r="E9" s="14" t="inlineStr">
        <is>
          <t>التكرار يجعل GA4 أعلى من الواقع.</t>
        </is>
      </c>
      <c r="F9" s="14" t="inlineStr">
        <is>
          <t>امنع إطلاق الحدث أكثر من مرة لنفس order_id.</t>
        </is>
      </c>
      <c r="G9" s="16">
        <f>IF(C9="نعم",1,0)</f>
        <v/>
      </c>
    </row>
    <row r="10" ht="28" customHeight="1">
      <c r="A10" s="11" t="inlineStr">
        <is>
          <t>GA4</t>
        </is>
      </c>
      <c r="B10" s="11" t="inlineStr">
        <is>
          <t>هل consent / الكوكيز لا يمنع جزءًا كبيرًا من القياس؟</t>
        </is>
      </c>
      <c r="C10" s="12" t="inlineStr">
        <is>
          <t>غير متأكد</t>
        </is>
      </c>
      <c r="D10" s="12" t="inlineStr">
        <is>
          <t>متوسطة</t>
        </is>
      </c>
      <c r="E10" s="11" t="inlineStr">
        <is>
          <t>الموافقة والخصوصية قد تقلل الأحداث.</t>
        </is>
      </c>
      <c r="F10" s="11" t="inlineStr">
        <is>
          <t>راجع إعدادات consent mode وسياسة الكوكيز.</t>
        </is>
      </c>
      <c r="G10" s="13">
        <f>IF(C10="نعم",1,0)</f>
        <v/>
      </c>
    </row>
    <row r="11" ht="28" customHeight="1">
      <c r="A11" s="14" t="inlineStr">
        <is>
          <t>Meta</t>
        </is>
      </c>
      <c r="B11" s="14" t="inlineStr">
        <is>
          <t>هل تفهم نافذة الإسناد في Meta؟</t>
        </is>
      </c>
      <c r="C11" s="15" t="inlineStr">
        <is>
          <t>غير متأكد</t>
        </is>
      </c>
      <c r="D11" s="15" t="inlineStr">
        <is>
          <t>متوسطة</t>
        </is>
      </c>
      <c r="E11" s="14" t="inlineStr">
        <is>
          <t>Meta قد تنسب الطلب حتى لو لم تكن آخر لمسة.</t>
        </is>
      </c>
      <c r="F11" s="14" t="inlineStr">
        <is>
          <t>قارن بنفس نافذة الإسناد ولا تقارنها مباشرة مع Shopify.</t>
        </is>
      </c>
      <c r="G11" s="16">
        <f>IF(C11="نعم",1,0)</f>
        <v/>
      </c>
    </row>
    <row r="12" ht="28" customHeight="1">
      <c r="A12" s="11" t="inlineStr">
        <is>
          <t>Meta</t>
        </is>
      </c>
      <c r="B12" s="11" t="inlineStr">
        <is>
          <t>هل Pixel وCAPI لا يكررون نفس الطلب؟</t>
        </is>
      </c>
      <c r="C12" s="12" t="inlineStr">
        <is>
          <t>غير متأكد</t>
        </is>
      </c>
      <c r="D12" s="12" t="inlineStr">
        <is>
          <t>عالية</t>
        </is>
      </c>
      <c r="E12" s="11" t="inlineStr">
        <is>
          <t>التكرار يجعل Meta أعلى من الواقع.</t>
        </is>
      </c>
      <c r="F12" s="11" t="inlineStr">
        <is>
          <t>تأكد من event_id وربط Pixel/CAPI لتفادي التكرار.</t>
        </is>
      </c>
      <c r="G12" s="13">
        <f>IF(C12="نعم",1,0)</f>
        <v/>
      </c>
    </row>
    <row r="13" ht="28" customHeight="1">
      <c r="A13" s="14" t="inlineStr">
        <is>
          <t>Google Ads</t>
        </is>
      </c>
      <c r="B13" s="14" t="inlineStr">
        <is>
          <t>هل تحويلات Google Ads مضبوطة على purchase الحقيقي؟</t>
        </is>
      </c>
      <c r="C13" s="15" t="inlineStr">
        <is>
          <t>غير متأكد</t>
        </is>
      </c>
      <c r="D13" s="15" t="inlineStr">
        <is>
          <t>عالية</t>
        </is>
      </c>
      <c r="E13" s="14" t="inlineStr">
        <is>
          <t>تحويل خاطئ يعطي قرارات إنفاق خاطئة.</t>
        </is>
      </c>
      <c r="F13" s="14" t="inlineStr">
        <is>
          <t>راجع conversion action واجعله شراء فعلي لا زيارة أو إضافة للسلة.</t>
        </is>
      </c>
      <c r="G13" s="16">
        <f>IF(C13="نعم",1,0)</f>
        <v/>
      </c>
    </row>
    <row r="14" ht="28" customHeight="1">
      <c r="A14" s="11" t="inlineStr">
        <is>
          <t>Google Ads</t>
        </is>
      </c>
      <c r="B14" s="11" t="inlineStr">
        <is>
          <t>هل تعرف هل التحويلات المحسّنة مفعلة؟</t>
        </is>
      </c>
      <c r="C14" s="12" t="inlineStr">
        <is>
          <t>غير متأكد</t>
        </is>
      </c>
      <c r="D14" s="12" t="inlineStr">
        <is>
          <t>متوسطة</t>
        </is>
      </c>
      <c r="E14" s="11" t="inlineStr">
        <is>
          <t>Enhanced conversions قد تغير نسبة الإسناد.</t>
        </is>
      </c>
      <c r="F14" s="11" t="inlineStr">
        <is>
          <t>وثق حالتها قبل مقارنة Google مع GA4.</t>
        </is>
      </c>
      <c r="G14" s="13">
        <f>IF(C14="نعم",1,0)</f>
        <v/>
      </c>
    </row>
    <row r="15" ht="28" customHeight="1">
      <c r="A15" s="14" t="inlineStr">
        <is>
          <t>المقارنة</t>
        </is>
      </c>
      <c r="B15" s="14" t="inlineStr">
        <is>
          <t>هل تستبعد الطلبات الملغاة/المرتجعة عند تقييم الربح؟</t>
        </is>
      </c>
      <c r="C15" s="15" t="inlineStr">
        <is>
          <t>غير متأكد</t>
        </is>
      </c>
      <c r="D15" s="15" t="inlineStr">
        <is>
          <t>عالية</t>
        </is>
      </c>
      <c r="E15" s="14" t="inlineStr">
        <is>
          <t>الطلبات غير المكتملة تشوه الربحية.</t>
        </is>
      </c>
      <c r="F15" s="14" t="inlineStr">
        <is>
          <t>قارن المبيعات الصافية وليس عدد الطلبات فقط.</t>
        </is>
      </c>
      <c r="G15" s="16">
        <f>IF(C15="نعم",1,0)</f>
        <v/>
      </c>
    </row>
    <row r="16" ht="28" customHeight="1">
      <c r="A16" s="11" t="inlineStr">
        <is>
          <t>المقارنة</t>
        </is>
      </c>
      <c r="B16" s="11" t="inlineStr">
        <is>
          <t>هل تنتظر 24-48 ساعة قبل الحكم على فرق المنصات؟</t>
        </is>
      </c>
      <c r="C16" s="12" t="inlineStr">
        <is>
          <t>غير متأكد</t>
        </is>
      </c>
      <c r="D16" s="12" t="inlineStr">
        <is>
          <t>متوسطة</t>
        </is>
      </c>
      <c r="E16" s="11" t="inlineStr">
        <is>
          <t>بعض المنصات تتأخر في التحديث.</t>
        </is>
      </c>
      <c r="F16" s="11" t="inlineStr">
        <is>
          <t>لا تغير الميزانية بسبب يوم واحد شاذ.</t>
        </is>
      </c>
      <c r="G16" s="13">
        <f>IF(C16="نعم",1,0)</f>
        <v/>
      </c>
    </row>
    <row r="17" ht="28" customHeight="1">
      <c r="A17" s="14" t="inlineStr">
        <is>
          <t>القرار</t>
        </is>
      </c>
      <c r="B17" s="14" t="inlineStr">
        <is>
          <t>هل لديك قاعدة واضحة قبل رفع أو إيقاف الميزانية؟</t>
        </is>
      </c>
      <c r="C17" s="15" t="inlineStr">
        <is>
          <t>غير متأكد</t>
        </is>
      </c>
      <c r="D17" s="15" t="inlineStr">
        <is>
          <t>عالية</t>
        </is>
      </c>
      <c r="E17" s="14" t="inlineStr">
        <is>
          <t>القرار بدون قاعدة يحرق ميزانية أو يوقف حملة رابحة.</t>
        </is>
      </c>
      <c r="F17" s="14" t="inlineStr">
        <is>
          <t>حدد: Shopify للحقيقة، GA4 للسلوك، Meta/Google للإسناد.</t>
        </is>
      </c>
      <c r="G17" s="16">
        <f>IF(C17="نعم",1,0)</f>
        <v/>
      </c>
    </row>
    <row r="18" ht="28" customHeight="1">
      <c r="A18" s="2" t="n"/>
      <c r="B18" s="2" t="n"/>
      <c r="C18" s="2" t="n"/>
      <c r="D18" s="2" t="n"/>
      <c r="E18" s="2" t="n"/>
      <c r="F18" s="2" t="n"/>
      <c r="G18" s="2" t="n"/>
    </row>
    <row r="19" ht="28" customHeight="1">
      <c r="A19" s="2" t="n"/>
      <c r="B19" s="2" t="n"/>
      <c r="C19" s="2" t="n"/>
      <c r="D19" s="2" t="n"/>
      <c r="E19" s="2" t="n"/>
      <c r="F19" s="2" t="n"/>
      <c r="G19" s="2" t="n"/>
    </row>
    <row r="20" ht="28" customHeight="1">
      <c r="A20" s="5" t="inlineStr">
        <is>
          <t>ملخص سريع</t>
        </is>
      </c>
      <c r="B20" s="2" t="n"/>
      <c r="C20" s="2" t="n"/>
      <c r="D20" s="2" t="n"/>
      <c r="E20" s="2" t="n"/>
      <c r="F20" s="2" t="n"/>
      <c r="G20" s="2" t="n"/>
    </row>
    <row r="21" ht="28" customHeight="1">
      <c r="A21" s="4" t="inlineStr">
        <is>
          <t>النقاط السليمة</t>
        </is>
      </c>
      <c r="B21" s="4">
        <f>SUM(G6:G17)</f>
        <v/>
      </c>
      <c r="C21" s="4" t="inlineStr">
        <is>
          <t>من 12</t>
        </is>
      </c>
      <c r="D21" s="2" t="n"/>
      <c r="E21" s="2" t="n"/>
      <c r="F21" s="2" t="n"/>
      <c r="G21" s="2" t="n"/>
    </row>
    <row r="22" ht="28" customHeight="1">
      <c r="A22" s="4" t="inlineStr">
        <is>
          <t>التوصية</t>
        </is>
      </c>
      <c r="B22" s="4">
        <f>IF(B21&gt;=10,"ممتاز: اقرأ الأرقام بثقة نسبية",IF(B21&gt;=7,"متوسط: أصلح النقاط غير المؤكدة قبل قرار كبير","خطر: لا تغيّر الميزانية قبل إصلاح التتبع"))</f>
        <v/>
      </c>
      <c r="C22" s="4" t="n"/>
      <c r="D22" s="2" t="n"/>
      <c r="E22" s="2" t="n"/>
      <c r="F22" s="2" t="n"/>
      <c r="G22" s="2" t="n"/>
    </row>
  </sheetData>
  <mergeCells count="2">
    <mergeCell ref="A2:G2"/>
    <mergeCell ref="A1:G1"/>
  </mergeCells>
  <conditionalFormatting sqref="C6:C17">
    <cfRule type="cellIs" priority="1" operator="equal" dxfId="0">
      <formula>"نعم"</formula>
    </cfRule>
    <cfRule type="cellIs" priority="2" operator="equal" dxfId="1">
      <formula>"لا"</formula>
    </cfRule>
    <cfRule type="cellIs" priority="3" operator="equal" dxfId="2">
      <formula>"غير متأكد"</formula>
    </cfRule>
  </conditionalFormatting>
  <dataValidations count="1">
    <dataValidation sqref="C6:C17" showDropDown="0" showInputMessage="0" showErrorMessage="0" allowBlank="0" type="list">
      <formula1>"نعم,لا,غير متأكد,لا ينطبق"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 ht="28" customHeight="1">
      <c r="A1" s="1" t="inlineStr">
        <is>
          <t>تفسير النتائج</t>
        </is>
      </c>
      <c r="B1" s="2" t="n"/>
      <c r="C1" s="2" t="n"/>
    </row>
    <row r="2" ht="28" customHeight="1">
      <c r="A2" s="3" t="inlineStr">
        <is>
          <t>اقرأ هذه الصفحة بعد تعبئة الفحص السريع.</t>
        </is>
      </c>
      <c r="B2" s="2" t="n"/>
      <c r="C2" s="2" t="n"/>
    </row>
    <row r="3" ht="28" customHeight="1">
      <c r="A3" s="2" t="n"/>
      <c r="B3" s="2" t="n"/>
      <c r="C3" s="2" t="n"/>
    </row>
    <row r="4" ht="28" customHeight="1">
      <c r="A4" s="2" t="n"/>
      <c r="B4" s="2" t="n"/>
      <c r="C4" s="2" t="n"/>
    </row>
    <row r="5" ht="28" customHeight="1">
      <c r="A5" s="10" t="inlineStr">
        <is>
          <t>النقاط</t>
        </is>
      </c>
      <c r="B5" s="10" t="inlineStr">
        <is>
          <t>الحالة</t>
        </is>
      </c>
      <c r="C5" s="10" t="inlineStr">
        <is>
          <t>المعنى العملي</t>
        </is>
      </c>
    </row>
    <row r="6" ht="28" customHeight="1">
      <c r="A6" s="12" t="inlineStr">
        <is>
          <t>10-12</t>
        </is>
      </c>
      <c r="B6" s="12" t="inlineStr">
        <is>
          <t>جاهز للتقييم</t>
        </is>
      </c>
      <c r="C6" s="11" t="inlineStr">
        <is>
          <t>الأرقام لن تتطابق 100%، لكن التتبع يبدو كافيًا لاتخاذ قرار مدروس.</t>
        </is>
      </c>
    </row>
    <row r="7" ht="28" customHeight="1">
      <c r="A7" s="17" t="inlineStr">
        <is>
          <t>7-9</t>
        </is>
      </c>
      <c r="B7" s="17" t="inlineStr">
        <is>
          <t>راجع قبل القرار</t>
        </is>
      </c>
      <c r="C7" s="6" t="inlineStr">
        <is>
          <t>فيه نقاط تحتاج تثبيت. أصلحها أو انتظر يومين قبل رفع/إيقاف الميزانية.</t>
        </is>
      </c>
    </row>
    <row r="8" ht="28" customHeight="1">
      <c r="A8" s="12" t="inlineStr">
        <is>
          <t>0-6</t>
        </is>
      </c>
      <c r="B8" s="12" t="inlineStr">
        <is>
          <t>لا تغيّر الميزانية الآن</t>
        </is>
      </c>
      <c r="C8" s="11" t="inlineStr">
        <is>
          <t>الأرقام قد تكون مضللة. ابدأ بإصلاح purchase وorder_id والتكرار ونوافذ الإسناد.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52" customWidth="1" min="3" max="3"/>
  </cols>
  <sheetData>
    <row r="1" ht="28" customHeight="1">
      <c r="A1" s="1" t="inlineStr">
        <is>
          <t>مصادر الأرقام باختصار</t>
        </is>
      </c>
      <c r="B1" s="2" t="n"/>
      <c r="C1" s="2" t="n"/>
    </row>
    <row r="2" ht="28" customHeight="1">
      <c r="A2" s="3" t="inlineStr">
        <is>
          <t>استخدم هذا التبويب كمرجع بسيط عند تفسير اختلاف الأرقام.</t>
        </is>
      </c>
      <c r="B2" s="2" t="n"/>
      <c r="C2" s="2" t="n"/>
    </row>
    <row r="3" ht="28" customHeight="1">
      <c r="A3" s="2" t="n"/>
      <c r="B3" s="2" t="n"/>
      <c r="C3" s="2" t="n"/>
    </row>
    <row r="4" ht="28" customHeight="1">
      <c r="A4" s="2" t="n"/>
      <c r="B4" s="2" t="n"/>
      <c r="C4" s="2" t="n"/>
    </row>
    <row r="5" ht="28" customHeight="1">
      <c r="A5" s="10" t="inlineStr">
        <is>
          <t>المصدر</t>
        </is>
      </c>
      <c r="B5" s="10" t="inlineStr">
        <is>
          <t>يعتمد عليه في</t>
        </is>
      </c>
      <c r="C5" s="10" t="inlineStr">
        <is>
          <t>انتبه من</t>
        </is>
      </c>
    </row>
    <row r="6" ht="28" customHeight="1">
      <c r="A6" s="12" t="inlineStr">
        <is>
          <t>Shopify</t>
        </is>
      </c>
      <c r="B6" s="11" t="inlineStr">
        <is>
          <t>المبيعات والإيراد الفعلي</t>
        </is>
      </c>
      <c r="C6" s="11" t="inlineStr">
        <is>
          <t>لا يشرح وحده مصدر العميل أو مساهمة الإعلان.</t>
        </is>
      </c>
    </row>
    <row r="7" ht="28" customHeight="1">
      <c r="A7" s="17" t="inlineStr">
        <is>
          <t>GA4</t>
        </is>
      </c>
      <c r="B7" s="6" t="inlineStr">
        <is>
          <t>سلوك الموقع ورحلة العميل</t>
        </is>
      </c>
      <c r="C7" s="6" t="inlineStr">
        <is>
          <t>قد يتأثر بالكوكيز والموافقة والمتصفح.</t>
        </is>
      </c>
    </row>
    <row r="8" ht="28" customHeight="1">
      <c r="A8" s="12" t="inlineStr">
        <is>
          <t>Meta</t>
        </is>
      </c>
      <c r="B8" s="11" t="inlineStr">
        <is>
          <t>أثر حملات Meta حسب نافذة الإسناد</t>
        </is>
      </c>
      <c r="C8" s="11" t="inlineStr">
        <is>
          <t>قد ينسب طلبًا ساهم فيه الإعلان وليس آخر لمسة.</t>
        </is>
      </c>
    </row>
    <row r="9" ht="28" customHeight="1">
      <c r="A9" s="17" t="inlineStr">
        <is>
          <t>Google Ads</t>
        </is>
      </c>
      <c r="B9" s="6" t="inlineStr">
        <is>
          <t>أثر البحث وShopping وPMax</t>
        </is>
      </c>
      <c r="C9" s="6" t="inlineStr">
        <is>
          <t>قد يختلف حسب نموذج الإسناد والتحويلات المحسّنة.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2026-07-10T17:37:53Z</dcterms:created>
  <dcterms:modified xmlns:dcterms="http://purl.org/dc/terms/" xmlns:xsi="http://www.w3.org/2001/XMLSchema-instance" xsi:type="dcterms:W3CDTF">2026-07-10T17:37:53Z</dcterms:modified>
</cp:coreProperties>
</file>